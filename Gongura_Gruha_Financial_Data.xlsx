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Materials" sheetId="1" state="visible" r:id="rId3"/>
    <sheet name="Packaging &amp; Labels" sheetId="2" state="visible" r:id="rId4"/>
    <sheet name="Registrations &amp; Licenses" sheetId="3" state="visible" r:id="rId5"/>
    <sheet name="Equipment" sheetId="4" state="visible" r:id="rId6"/>
    <sheet name="Pricing &amp; Profit" sheetId="5" state="visible" r:id="rId7"/>
    <sheet name="Shipping &amp; Logistics" sheetId="6" state="visible" r:id="rId8"/>
    <sheet name="Monthly Expenses" sheetId="7" state="visible" r:id="rId9"/>
    <sheet name="Startup Summary" sheetId="8" state="visible" r:id="rId10"/>
    <sheet name="Tax &amp; ITR" sheetId="9" state="visible" r:id="rId11"/>
    <sheet name="Startup Checklis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<sst xmlns="http://schemas.openxmlformats.org/spreadsheetml/2006/main" count="403" uniqueCount="310">
  <si>
    <t xml:space="preserve">GONGURA GRUHA - RAW MATERIALS COST ANALYSIS</t>
  </si>
  <si>
    <t xml:space="preserve">S.No</t>
  </si>
  <si>
    <t xml:space="preserve">Ingredient</t>
  </si>
  <si>
    <t xml:space="preserve">Unit</t>
  </si>
  <si>
    <t xml:space="preserve">Rate (₹)</t>
  </si>
  <si>
    <t xml:space="preserve">Qty per 10kg Pickle</t>
  </si>
  <si>
    <t xml:space="preserve">Cost (₹)</t>
  </si>
  <si>
    <t xml:space="preserve">Source</t>
  </si>
  <si>
    <t xml:space="preserve">Gongura Leaves (Red Stem)</t>
  </si>
  <si>
    <t xml:space="preserve">kg</t>
  </si>
  <si>
    <t xml:space="preserve">Local Farmers/Mandis</t>
  </si>
  <si>
    <t xml:space="preserve">Groundnut/Sunflower Oil</t>
  </si>
  <si>
    <t xml:space="preserve">litre</t>
  </si>
  <si>
    <t xml:space="preserve">Begum Bazaar</t>
  </si>
  <si>
    <t xml:space="preserve">Red Chilli Powder (Guntur)</t>
  </si>
  <si>
    <t xml:space="preserve">Kothapet Market</t>
  </si>
  <si>
    <t xml:space="preserve">Garlic</t>
  </si>
  <si>
    <t xml:space="preserve">Local Vegetable Market</t>
  </si>
  <si>
    <t xml:space="preserve">Tamarind Paste</t>
  </si>
  <si>
    <t xml:space="preserve">Wholesale Market</t>
  </si>
  <si>
    <t xml:space="preserve">Mustard Seeds</t>
  </si>
  <si>
    <t xml:space="preserve">Spice Wholesale</t>
  </si>
  <si>
    <t xml:space="preserve">Fenugreek Seeds</t>
  </si>
  <si>
    <t xml:space="preserve">Cumin Seeds</t>
  </si>
  <si>
    <t xml:space="preserve">Coriander Seeds</t>
  </si>
  <si>
    <t xml:space="preserve">Turmeric Powder</t>
  </si>
  <si>
    <t xml:space="preserve">Nizamabad</t>
  </si>
  <si>
    <t xml:space="preserve">Asafoetida (Hing)</t>
  </si>
  <si>
    <t xml:space="preserve">100gm</t>
  </si>
  <si>
    <t xml:space="preserve">Branded Suppliers</t>
  </si>
  <si>
    <t xml:space="preserve">Salt (Rock/Sea)</t>
  </si>
  <si>
    <t xml:space="preserve">Wholesale</t>
  </si>
  <si>
    <t xml:space="preserve">Curry Leaves</t>
  </si>
  <si>
    <t xml:space="preserve">bunch</t>
  </si>
  <si>
    <t xml:space="preserve">Local Market</t>
  </si>
  <si>
    <t xml:space="preserve">TOTAL RAW MATERIAL COST PER 10KG PICKLE</t>
  </si>
  <si>
    <t xml:space="preserve">Cost per kg of pickle:</t>
  </si>
  <si>
    <t xml:space="preserve">PACKAGING &amp; LABELLING COSTS</t>
  </si>
  <si>
    <t xml:space="preserve">Item</t>
  </si>
  <si>
    <t xml:space="preserve">Size/Type</t>
  </si>
  <si>
    <t xml:space="preserve">Unit Cost (₹)</t>
  </si>
  <si>
    <t xml:space="preserve">MOQ</t>
  </si>
  <si>
    <t xml:space="preserve">Total for MOQ (₹)</t>
  </si>
  <si>
    <t xml:space="preserve">Glass Jars with Lid</t>
  </si>
  <si>
    <t xml:space="preserve">200g</t>
  </si>
  <si>
    <t xml:space="preserve">500g</t>
  </si>
  <si>
    <t xml:space="preserve">1kg</t>
  </si>
  <si>
    <t xml:space="preserve">PET Jars</t>
  </si>
  <si>
    <t xml:space="preserve">250g</t>
  </si>
  <si>
    <t xml:space="preserve">Stand-up Pouches</t>
  </si>
  <si>
    <t xml:space="preserve">Printed Labels</t>
  </si>
  <si>
    <t xml:space="preserve">Standard</t>
  </si>
  <si>
    <t xml:space="preserve">Shrink Wrap Seals</t>
  </si>
  <si>
    <t xml:space="preserve">Carton Boxes (12 jars)</t>
  </si>
  <si>
    <t xml:space="preserve">Medium</t>
  </si>
  <si>
    <t xml:space="preserve">Bubble Wrap (roll)</t>
  </si>
  <si>
    <t xml:space="preserve">50m</t>
  </si>
  <si>
    <t xml:space="preserve">BUSINESS REGISTRATIONS &amp; LICENSES</t>
  </si>
  <si>
    <t xml:space="preserve">Registration/License</t>
  </si>
  <si>
    <t xml:space="preserve">Validity</t>
  </si>
  <si>
    <t xml:space="preserve">Remarks</t>
  </si>
  <si>
    <t xml:space="preserve">FSSAI Basic Registration</t>
  </si>
  <si>
    <t xml:space="preserve">1 year</t>
  </si>
  <si>
    <t xml:space="preserve">For turnover &lt; ₹12 Lakhs</t>
  </si>
  <si>
    <t xml:space="preserve">FSSAI Basic Registration (5 years)</t>
  </si>
  <si>
    <t xml:space="preserve">5 years</t>
  </si>
  <si>
    <t xml:space="preserve">Recommended for savings</t>
  </si>
  <si>
    <t xml:space="preserve">FSSAI State License</t>
  </si>
  <si>
    <t xml:space="preserve">For turnover ₹12L-20Cr</t>
  </si>
  <si>
    <t xml:space="preserve">FSSAI State License (5 years)</t>
  </si>
  <si>
    <t xml:space="preserve">Higher turnover businesses</t>
  </si>
  <si>
    <t xml:space="preserve">Udyam/MSME Registration</t>
  </si>
  <si>
    <t xml:space="preserve">Lifetime</t>
  </si>
  <si>
    <t xml:space="preserve">FREE - Government portal</t>
  </si>
  <si>
    <t xml:space="preserve">GST Registration</t>
  </si>
  <si>
    <t xml:space="preserve">FREE - Mandatory if turnover &gt; ₹20L</t>
  </si>
  <si>
    <t xml:space="preserve">Shop &amp; Establishment License</t>
  </si>
  <si>
    <t xml:space="preserve">Annual</t>
  </si>
  <si>
    <t xml:space="preserve">From Municipal Corporation</t>
  </si>
  <si>
    <t xml:space="preserve">Trade License (GHMC)</t>
  </si>
  <si>
    <t xml:space="preserve">For Hyderabad businesses</t>
  </si>
  <si>
    <t xml:space="preserve">Trademark Registration</t>
  </si>
  <si>
    <t xml:space="preserve">10 years</t>
  </si>
  <si>
    <t xml:space="preserve">Online - for MSME</t>
  </si>
  <si>
    <t xml:space="preserve">GS1 Barcode (GTIN)</t>
  </si>
  <si>
    <t xml:space="preserve">For e-commerce selling</t>
  </si>
  <si>
    <t xml:space="preserve">GS1 Barcode (10 products)</t>
  </si>
  <si>
    <t xml:space="preserve">Multiple products</t>
  </si>
  <si>
    <t xml:space="preserve">IEC Code (Export)</t>
  </si>
  <si>
    <t xml:space="preserve">For exports to NRIs</t>
  </si>
  <si>
    <t xml:space="preserve">Pollution NOC (if factory)</t>
  </si>
  <si>
    <t xml:space="preserve">For manufacturing units</t>
  </si>
  <si>
    <t xml:space="preserve">MINIMUM STARTUP COST (Home-based)</t>
  </si>
  <si>
    <t xml:space="preserve">EQUIPMENT &amp; MACHINERY COSTS</t>
  </si>
  <si>
    <t xml:space="preserve">HOME-BASED SETUP</t>
  </si>
  <si>
    <t xml:space="preserve">Equipment</t>
  </si>
  <si>
    <t xml:space="preserve">Specification</t>
  </si>
  <si>
    <t xml:space="preserve">Cost Range (₹)</t>
  </si>
  <si>
    <t xml:space="preserve">Essential</t>
  </si>
  <si>
    <t xml:space="preserve">SS Vessels (Set of 5)</t>
  </si>
  <si>
    <t xml:space="preserve">Various sizes 5L-20L</t>
  </si>
  <si>
    <t xml:space="preserve">5000-10000</t>
  </si>
  <si>
    <t xml:space="preserve">Yes</t>
  </si>
  <si>
    <t xml:space="preserve">Commercial Mixer Grinder</t>
  </si>
  <si>
    <t xml:space="preserve">750W-1000W</t>
  </si>
  <si>
    <t xml:space="preserve">8000-15000</t>
  </si>
  <si>
    <t xml:space="preserve">Gas Stove (2-burner)</t>
  </si>
  <si>
    <t xml:space="preserve">Commercial grade</t>
  </si>
  <si>
    <t xml:space="preserve">3000-6000</t>
  </si>
  <si>
    <t xml:space="preserve">Digital Weighing Scale</t>
  </si>
  <si>
    <t xml:space="preserve">Up to 30kg</t>
  </si>
  <si>
    <t xml:space="preserve">1500-3000</t>
  </si>
  <si>
    <t xml:space="preserve">Food-grade Storage Containers</t>
  </si>
  <si>
    <t xml:space="preserve">Set of 10</t>
  </si>
  <si>
    <t xml:space="preserve">3000-5000</t>
  </si>
  <si>
    <t xml:space="preserve">Hand Sealing Machine</t>
  </si>
  <si>
    <t xml:space="preserve">For pouches</t>
  </si>
  <si>
    <t xml:space="preserve">2000-5000</t>
  </si>
  <si>
    <t xml:space="preserve">Optional</t>
  </si>
  <si>
    <t xml:space="preserve">Label Printer</t>
  </si>
  <si>
    <t xml:space="preserve">Thermal/Inkjet</t>
  </si>
  <si>
    <t xml:space="preserve">5000-15000</t>
  </si>
  <si>
    <t xml:space="preserve">Refrigerator (for storage)</t>
  </si>
  <si>
    <t xml:space="preserve">300L</t>
  </si>
  <si>
    <t xml:space="preserve">15000-25000</t>
  </si>
  <si>
    <t xml:space="preserve">Recommended</t>
  </si>
  <si>
    <t xml:space="preserve">SS Working Table</t>
  </si>
  <si>
    <t xml:space="preserve">4x2 feet</t>
  </si>
  <si>
    <t xml:space="preserve">5000-8000</t>
  </si>
  <si>
    <t xml:space="preserve">Exhaust Fan</t>
  </si>
  <si>
    <t xml:space="preserve">Industrial</t>
  </si>
  <si>
    <t xml:space="preserve">2000-4000</t>
  </si>
  <si>
    <t xml:space="preserve">TOTAL HOME SETUP (Minimum)</t>
  </si>
  <si>
    <t xml:space="preserve">50,000 - 80,000</t>
  </si>
  <si>
    <t xml:space="preserve">INDUSTRIAL/FACTORY SETUP (Scaling Up)</t>
  </si>
  <si>
    <t xml:space="preserve">Pickle Mixing Machine</t>
  </si>
  <si>
    <t xml:space="preserve">100kg batch</t>
  </si>
  <si>
    <t xml:space="preserve">63000-150000</t>
  </si>
  <si>
    <t xml:space="preserve">Automatic Filling Machine</t>
  </si>
  <si>
    <t xml:space="preserve">30 jars/min</t>
  </si>
  <si>
    <t xml:space="preserve">100000-300000</t>
  </si>
  <si>
    <t xml:space="preserve">Jar Sealing Machine</t>
  </si>
  <si>
    <t xml:space="preserve">Vacuum sealing</t>
  </si>
  <si>
    <t xml:space="preserve">50000-150000</t>
  </si>
  <si>
    <t xml:space="preserve">SS Storage Tanks</t>
  </si>
  <si>
    <t xml:space="preserve">500L capacity</t>
  </si>
  <si>
    <t xml:space="preserve">30000-50000</t>
  </si>
  <si>
    <t xml:space="preserve">Commercial Gas Range</t>
  </si>
  <si>
    <t xml:space="preserve">4-burner</t>
  </si>
  <si>
    <t xml:space="preserve">25000-50000</t>
  </si>
  <si>
    <t xml:space="preserve">Conveyor Belt System</t>
  </si>
  <si>
    <t xml:space="preserve">3m length</t>
  </si>
  <si>
    <t xml:space="preserve">200000-500000</t>
  </si>
  <si>
    <t xml:space="preserve">Cold Storage Room</t>
  </si>
  <si>
    <t xml:space="preserve">Walk-in type</t>
  </si>
  <si>
    <t xml:space="preserve">150000-300000</t>
  </si>
  <si>
    <t xml:space="preserve">Packaging Line</t>
  </si>
  <si>
    <t xml:space="preserve">Semi-automatic</t>
  </si>
  <si>
    <t xml:space="preserve">100000-250000</t>
  </si>
  <si>
    <t xml:space="preserve">TOTAL FACTORY SETUP (Minimum)</t>
  </si>
  <si>
    <t xml:space="preserve">5,00,000 - 15,00,000</t>
  </si>
  <si>
    <t xml:space="preserve">PRODUCT PRICING &amp; PROFITABILITY ANALYSIS</t>
  </si>
  <si>
    <t xml:space="preserve">Product Size</t>
  </si>
  <si>
    <t xml:space="preserve">Raw Material Cost</t>
  </si>
  <si>
    <t xml:space="preserve">Packaging Cost</t>
  </si>
  <si>
    <t xml:space="preserve">Total Cost</t>
  </si>
  <si>
    <t xml:space="preserve">Selling Price (MRP)</t>
  </si>
  <si>
    <t xml:space="preserve">Gross Profit</t>
  </si>
  <si>
    <t xml:space="preserve">Margin %</t>
  </si>
  <si>
    <t xml:space="preserve">100g Pouch</t>
  </si>
  <si>
    <t xml:space="preserve">200g Pouch</t>
  </si>
  <si>
    <t xml:space="preserve">250g Jar</t>
  </si>
  <si>
    <t xml:space="preserve">500g Jar</t>
  </si>
  <si>
    <t xml:space="preserve">1kg Jar</t>
  </si>
  <si>
    <t xml:space="preserve">MONTHLY SALES PROJECTIONS</t>
  </si>
  <si>
    <t xml:space="preserve">Scenario</t>
  </si>
  <si>
    <t xml:space="preserve">Monthly Sales (kg)</t>
  </si>
  <si>
    <t xml:space="preserve">Avg Price/kg</t>
  </si>
  <si>
    <t xml:space="preserve">Revenue</t>
  </si>
  <si>
    <t xml:space="preserve">Cost/kg</t>
  </si>
  <si>
    <t xml:space="preserve">Conservative</t>
  </si>
  <si>
    <t xml:space="preserve">Moderate</t>
  </si>
  <si>
    <t xml:space="preserve">Optimistic</t>
  </si>
  <si>
    <t xml:space="preserve">Scaling (Factory)</t>
  </si>
  <si>
    <t xml:space="preserve">SHIPPING &amp; LOGISTICS COSTS</t>
  </si>
  <si>
    <t xml:space="preserve">Service Provider</t>
  </si>
  <si>
    <t xml:space="preserve">Weight</t>
  </si>
  <si>
    <t xml:space="preserve">Approx Cost (₹)</t>
  </si>
  <si>
    <t xml:space="preserve">Delivery Time</t>
  </si>
  <si>
    <t xml:space="preserve">Dunzo (Local - Hyderabad)</t>
  </si>
  <si>
    <t xml:space="preserve">Up to 5kg</t>
  </si>
  <si>
    <t xml:space="preserve">40-80</t>
  </si>
  <si>
    <t xml:space="preserve">Same day</t>
  </si>
  <si>
    <t xml:space="preserve">Swiggy Genie (Local)</t>
  </si>
  <si>
    <t xml:space="preserve">Up to 3kg</t>
  </si>
  <si>
    <t xml:space="preserve">30-60</t>
  </si>
  <si>
    <t xml:space="preserve">Porter (Local Bulk)</t>
  </si>
  <si>
    <t xml:space="preserve">Up to 20kg</t>
  </si>
  <si>
    <t xml:space="preserve">100-200</t>
  </si>
  <si>
    <t xml:space="preserve">Shiprocket (Pan-India)</t>
  </si>
  <si>
    <t xml:space="preserve">3-7 days</t>
  </si>
  <si>
    <t xml:space="preserve">60-100</t>
  </si>
  <si>
    <t xml:space="preserve">Delhivery (Pan-India)</t>
  </si>
  <si>
    <t xml:space="preserve">50-90</t>
  </si>
  <si>
    <t xml:space="preserve">BlueDart (Premium)</t>
  </si>
  <si>
    <t xml:space="preserve">80-120</t>
  </si>
  <si>
    <t xml:space="preserve">2-4 days</t>
  </si>
  <si>
    <t xml:space="preserve">India Post Speed Post</t>
  </si>
  <si>
    <t xml:space="preserve">60-150</t>
  </si>
  <si>
    <t xml:space="preserve">4-7 days</t>
  </si>
  <si>
    <t xml:space="preserve">DTDC (Economy)</t>
  </si>
  <si>
    <t xml:space="preserve">50-80</t>
  </si>
  <si>
    <t xml:space="preserve">Own Delivery (Bike)</t>
  </si>
  <si>
    <t xml:space="preserve">Any</t>
  </si>
  <si>
    <t xml:space="preserve">15-30 (fuel)</t>
  </si>
  <si>
    <t xml:space="preserve">ESTIMATED MONTHLY OPERATING EXPENSES</t>
  </si>
  <si>
    <t xml:space="preserve">Expense Category</t>
  </si>
  <si>
    <t xml:space="preserve">Home-Based (₹)</t>
  </si>
  <si>
    <t xml:space="preserve">Factory (₹)</t>
  </si>
  <si>
    <t xml:space="preserve">Raw Materials (for 50kg)</t>
  </si>
  <si>
    <t xml:space="preserve">Packaging Materials</t>
  </si>
  <si>
    <t xml:space="preserve">Electricity</t>
  </si>
  <si>
    <t xml:space="preserve">Gas/Fuel</t>
  </si>
  <si>
    <t xml:space="preserve">Rent (if applicable)</t>
  </si>
  <si>
    <t xml:space="preserve">Labor/Helpers</t>
  </si>
  <si>
    <t xml:space="preserve">Transportation/Delivery</t>
  </si>
  <si>
    <t xml:space="preserve">Marketing/Advertising</t>
  </si>
  <si>
    <t xml:space="preserve">GST Payment (approx 12%)</t>
  </si>
  <si>
    <t xml:space="preserve">Miscellaneous</t>
  </si>
  <si>
    <t xml:space="preserve">TOTAL MONTHLY EXPENSES</t>
  </si>
  <si>
    <t xml:space="preserve">TOTAL STARTUP INVESTMENT SUMMARY</t>
  </si>
  <si>
    <t xml:space="preserve">Category</t>
  </si>
  <si>
    <t xml:space="preserve">Small Scale (₹)</t>
  </si>
  <si>
    <t xml:space="preserve">Equipment &amp; Machinery</t>
  </si>
  <si>
    <t xml:space="preserve">Initial Raw Materials (3 months)</t>
  </si>
  <si>
    <t xml:space="preserve">Registrations &amp; Licenses</t>
  </si>
  <si>
    <t xml:space="preserve">Branding &amp; Marketing</t>
  </si>
  <si>
    <t xml:space="preserve">Working Capital</t>
  </si>
  <si>
    <t xml:space="preserve">Contingency (10%)</t>
  </si>
  <si>
    <t xml:space="preserve">TOTAL STARTUP INVESTMENT</t>
  </si>
  <si>
    <t xml:space="preserve">TAX OBLIGATIONS &amp; ITR FILING GUIDE</t>
  </si>
  <si>
    <t xml:space="preserve">GST RATES FOR PICKLE PRODUCTS</t>
  </si>
  <si>
    <t xml:space="preserve">HSN Code</t>
  </si>
  <si>
    <t xml:space="preserve">Product Description</t>
  </si>
  <si>
    <t xml:space="preserve">GST Rate</t>
  </si>
  <si>
    <t xml:space="preserve">2001</t>
  </si>
  <si>
    <t xml:space="preserve">Vegetables/Fruits in Vinegar</t>
  </si>
  <si>
    <t xml:space="preserve">12%</t>
  </si>
  <si>
    <t xml:space="preserve">Standard rate for pickles</t>
  </si>
  <si>
    <t xml:space="preserve">2103</t>
  </si>
  <si>
    <t xml:space="preserve">Sauces &amp; Preparations</t>
  </si>
  <si>
    <t xml:space="preserve">Mixed preparations</t>
  </si>
  <si>
    <t xml:space="preserve">0910</t>
  </si>
  <si>
    <t xml:space="preserve">Spices (if selling separately)</t>
  </si>
  <si>
    <t xml:space="preserve">5%</t>
  </si>
  <si>
    <t xml:space="preserve">Turmeric, chilli powder etc.</t>
  </si>
  <si>
    <t xml:space="preserve">INCOME TAX SLABS (Individual/Proprietorship) - New Regime FY 2025-26</t>
  </si>
  <si>
    <t xml:space="preserve">Income Slab</t>
  </si>
  <si>
    <t xml:space="preserve">Tax Rate</t>
  </si>
  <si>
    <t xml:space="preserve">Tax Amount Example</t>
  </si>
  <si>
    <t xml:space="preserve">Up to ₹4,00,000</t>
  </si>
  <si>
    <t xml:space="preserve">Nil</t>
  </si>
  <si>
    <t xml:space="preserve">₹0</t>
  </si>
  <si>
    <t xml:space="preserve">₹4,00,001 - ₹8,00,000</t>
  </si>
  <si>
    <t xml:space="preserve">₹20,000</t>
  </si>
  <si>
    <t xml:space="preserve">₹8,00,001 - ₹12,00,000</t>
  </si>
  <si>
    <t xml:space="preserve">10%</t>
  </si>
  <si>
    <t xml:space="preserve">₹40,000</t>
  </si>
  <si>
    <t xml:space="preserve">₹12,00,001 - ₹16,00,000</t>
  </si>
  <si>
    <t xml:space="preserve">15%</t>
  </si>
  <si>
    <t xml:space="preserve">₹60,000</t>
  </si>
  <si>
    <t xml:space="preserve">₹16,00,001 - ₹20,00,000</t>
  </si>
  <si>
    <t xml:space="preserve">20%</t>
  </si>
  <si>
    <t xml:space="preserve">₹80,000</t>
  </si>
  <si>
    <t xml:space="preserve">₹20,00,001 - ₹24,00,000</t>
  </si>
  <si>
    <t xml:space="preserve">25%</t>
  </si>
  <si>
    <t xml:space="preserve">₹1,00,000</t>
  </si>
  <si>
    <t xml:space="preserve">Above ₹24,00,000</t>
  </si>
  <si>
    <t xml:space="preserve">30%</t>
  </si>
  <si>
    <t xml:space="preserve">Varies</t>
  </si>
  <si>
    <t xml:space="preserve">PRESUMPTIVE TAXATION (Section 44AD)</t>
  </si>
  <si>
    <t xml:space="preserve">Eligible if turnover &lt; ₹3 Crores</t>
  </si>
  <si>
    <t xml:space="preserve">Declare 6% of turnover (digital payments) or 8% (cash) as taxable income</t>
  </si>
  <si>
    <t xml:space="preserve">No need to maintain detailed books of accounts</t>
  </si>
  <si>
    <t xml:space="preserve">ITR-4 (Sugam) form to be filed</t>
  </si>
  <si>
    <t xml:space="preserve">GONGURA GRUHA - STARTUP CHECKLIST</t>
  </si>
  <si>
    <t xml:space="preserve">Task</t>
  </si>
  <si>
    <t xml:space="preserve">Status</t>
  </si>
  <si>
    <t xml:space="preserve">Target Date</t>
  </si>
  <si>
    <t xml:space="preserve">Finalize business name and logo</t>
  </si>
  <si>
    <t xml:space="preserve">☐</t>
  </si>
  <si>
    <t xml:space="preserve">Register Udyam/MSME (FREE)</t>
  </si>
  <si>
    <t xml:space="preserve">Apply for FSSAI Registration</t>
  </si>
  <si>
    <t xml:space="preserve">Open Current Bank Account</t>
  </si>
  <si>
    <t xml:space="preserve">Apply for GST Registration (if applicable)</t>
  </si>
  <si>
    <t xml:space="preserve">Obtain Shop &amp; Establishment License</t>
  </si>
  <si>
    <t xml:space="preserve">Apply for Trade License</t>
  </si>
  <si>
    <t xml:space="preserve">Finalize recipe and test batches</t>
  </si>
  <si>
    <t xml:space="preserve">Identify raw material suppliers</t>
  </si>
  <si>
    <t xml:space="preserve">Purchase equipment</t>
  </si>
  <si>
    <t xml:space="preserve">Design packaging and labels</t>
  </si>
  <si>
    <t xml:space="preserve">Order packaging materials</t>
  </si>
  <si>
    <t xml:space="preserve">Set up production space</t>
  </si>
  <si>
    <t xml:space="preserve">Create social media accounts</t>
  </si>
  <si>
    <t xml:space="preserve">Build product catalog</t>
  </si>
  <si>
    <t xml:space="preserve">Set up logistics/delivery</t>
  </si>
  <si>
    <t xml:space="preserve">Register on e-commerce platforms</t>
  </si>
  <si>
    <t xml:space="preserve">Launch first batch</t>
  </si>
  <si>
    <t xml:space="preserve">Collect customer feedback</t>
  </si>
  <si>
    <t xml:space="preserve">File first GST return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</si>
</sst>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4D2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2E7D3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4D2B"/>
        <bgColor rgb="FF333300"/>
      </patternFill>
    </fill>
    <fill>
      <patternFill patternType="solid">
        <fgColor rgb="FFE8F5E9"/>
        <bgColor rgb="FFFFFFFF"/>
      </patternFill>
    </fill>
    <fill>
      <patternFill patternType="solid">
        <fgColor rgb="FFC8E6C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E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1</v>
      </c>
      <c r="B4" s="3" t="s">
        <v>8</v>
      </c>
      <c r="C4" s="3" t="s">
        <v>9</v>
      </c>
      <c r="D4" s="3" t="n">
        <v>50</v>
      </c>
      <c r="E4" s="3" t="n">
        <v>4</v>
      </c>
      <c r="F4" s="3" t="n">
        <f aca="false">D4*E4</f>
        <v>200</v>
      </c>
      <c r="G4" s="3" t="s">
        <v>10</v>
      </c>
    </row>
    <row r="5" customFormat="false" ht="15" hidden="false" customHeight="false" outlineLevel="0" collapsed="false">
      <c r="A5" s="4" t="n">
        <v>2</v>
      </c>
      <c r="B5" s="4" t="s">
        <v>11</v>
      </c>
      <c r="C5" s="4" t="s">
        <v>12</v>
      </c>
      <c r="D5" s="4" t="n">
        <v>165</v>
      </c>
      <c r="E5" s="4" t="n">
        <v>2</v>
      </c>
      <c r="F5" s="4" t="n">
        <f aca="false">D5*E5</f>
        <v>330</v>
      </c>
      <c r="G5" s="4" t="s">
        <v>13</v>
      </c>
    </row>
    <row r="6" customFormat="false" ht="15" hidden="false" customHeight="false" outlineLevel="0" collapsed="false">
      <c r="A6" s="3" t="n">
        <v>3</v>
      </c>
      <c r="B6" s="3" t="s">
        <v>14</v>
      </c>
      <c r="C6" s="3" t="s">
        <v>9</v>
      </c>
      <c r="D6" s="3" t="n">
        <v>275</v>
      </c>
      <c r="E6" s="3" t="n">
        <v>0.5</v>
      </c>
      <c r="F6" s="3" t="n">
        <f aca="false">D6*E6</f>
        <v>137.5</v>
      </c>
      <c r="G6" s="3" t="s">
        <v>15</v>
      </c>
    </row>
    <row r="7" customFormat="false" ht="15" hidden="false" customHeight="false" outlineLevel="0" collapsed="false">
      <c r="A7" s="4" t="n">
        <v>4</v>
      </c>
      <c r="B7" s="4" t="s">
        <v>16</v>
      </c>
      <c r="C7" s="4" t="s">
        <v>9</v>
      </c>
      <c r="D7" s="4" t="n">
        <v>125</v>
      </c>
      <c r="E7" s="4" t="n">
        <v>0.3</v>
      </c>
      <c r="F7" s="4" t="n">
        <f aca="false">D7*E7</f>
        <v>37.5</v>
      </c>
      <c r="G7" s="4" t="s">
        <v>17</v>
      </c>
    </row>
    <row r="8" customFormat="false" ht="15" hidden="false" customHeight="false" outlineLevel="0" collapsed="false">
      <c r="A8" s="3" t="n">
        <v>5</v>
      </c>
      <c r="B8" s="3" t="s">
        <v>18</v>
      </c>
      <c r="C8" s="3" t="s">
        <v>9</v>
      </c>
      <c r="D8" s="3" t="n">
        <v>100</v>
      </c>
      <c r="E8" s="3" t="n">
        <v>0.2</v>
      </c>
      <c r="F8" s="3" t="n">
        <f aca="false">D8*E8</f>
        <v>20</v>
      </c>
      <c r="G8" s="3" t="s">
        <v>19</v>
      </c>
    </row>
    <row r="9" customFormat="false" ht="15" hidden="false" customHeight="false" outlineLevel="0" collapsed="false">
      <c r="A9" s="4" t="n">
        <v>6</v>
      </c>
      <c r="B9" s="4" t="s">
        <v>20</v>
      </c>
      <c r="C9" s="4" t="s">
        <v>9</v>
      </c>
      <c r="D9" s="4" t="n">
        <v>135</v>
      </c>
      <c r="E9" s="4" t="n">
        <v>0.1</v>
      </c>
      <c r="F9" s="4" t="n">
        <f aca="false">D9*E9</f>
        <v>13.5</v>
      </c>
      <c r="G9" s="4" t="s">
        <v>21</v>
      </c>
    </row>
    <row r="10" customFormat="false" ht="15" hidden="false" customHeight="false" outlineLevel="0" collapsed="false">
      <c r="A10" s="3" t="n">
        <v>7</v>
      </c>
      <c r="B10" s="3" t="s">
        <v>22</v>
      </c>
      <c r="C10" s="3" t="s">
        <v>9</v>
      </c>
      <c r="D10" s="3" t="n">
        <v>175</v>
      </c>
      <c r="E10" s="3" t="n">
        <v>0.05</v>
      </c>
      <c r="F10" s="3" t="n">
        <f aca="false">D10*E10</f>
        <v>8.75</v>
      </c>
      <c r="G10" s="3" t="s">
        <v>21</v>
      </c>
    </row>
    <row r="11" customFormat="false" ht="15" hidden="false" customHeight="false" outlineLevel="0" collapsed="false">
      <c r="A11" s="4" t="n">
        <v>8</v>
      </c>
      <c r="B11" s="4" t="s">
        <v>23</v>
      </c>
      <c r="C11" s="4" t="s">
        <v>9</v>
      </c>
      <c r="D11" s="4" t="n">
        <v>300</v>
      </c>
      <c r="E11" s="4" t="n">
        <v>0.05</v>
      </c>
      <c r="F11" s="4" t="n">
        <f aca="false">D11*E11</f>
        <v>15</v>
      </c>
      <c r="G11" s="4" t="s">
        <v>21</v>
      </c>
    </row>
    <row r="12" customFormat="false" ht="15" hidden="false" customHeight="false" outlineLevel="0" collapsed="false">
      <c r="A12" s="3" t="n">
        <v>9</v>
      </c>
      <c r="B12" s="3" t="s">
        <v>24</v>
      </c>
      <c r="C12" s="3" t="s">
        <v>9</v>
      </c>
      <c r="D12" s="3" t="n">
        <v>120</v>
      </c>
      <c r="E12" s="3" t="n">
        <v>0.1</v>
      </c>
      <c r="F12" s="3" t="n">
        <f aca="false">D12*E12</f>
        <v>12</v>
      </c>
      <c r="G12" s="3" t="s">
        <v>21</v>
      </c>
    </row>
    <row r="13" customFormat="false" ht="15" hidden="false" customHeight="false" outlineLevel="0" collapsed="false">
      <c r="A13" s="4" t="n">
        <v>10</v>
      </c>
      <c r="B13" s="4" t="s">
        <v>25</v>
      </c>
      <c r="C13" s="4" t="s">
        <v>9</v>
      </c>
      <c r="D13" s="4" t="n">
        <v>175</v>
      </c>
      <c r="E13" s="4" t="n">
        <v>0.05</v>
      </c>
      <c r="F13" s="4" t="n">
        <f aca="false">D13*E13</f>
        <v>8.75</v>
      </c>
      <c r="G13" s="4" t="s">
        <v>26</v>
      </c>
    </row>
    <row r="14" customFormat="false" ht="15" hidden="false" customHeight="false" outlineLevel="0" collapsed="false">
      <c r="A14" s="3" t="n">
        <v>11</v>
      </c>
      <c r="B14" s="3" t="s">
        <v>27</v>
      </c>
      <c r="C14" s="3" t="s">
        <v>28</v>
      </c>
      <c r="D14" s="3" t="n">
        <v>250</v>
      </c>
      <c r="E14" s="3" t="n">
        <v>0.02</v>
      </c>
      <c r="F14" s="3" t="n">
        <f aca="false">D14*E14</f>
        <v>5</v>
      </c>
      <c r="G14" s="3" t="s">
        <v>29</v>
      </c>
    </row>
    <row r="15" customFormat="false" ht="15" hidden="false" customHeight="false" outlineLevel="0" collapsed="false">
      <c r="A15" s="4" t="n">
        <v>12</v>
      </c>
      <c r="B15" s="4" t="s">
        <v>30</v>
      </c>
      <c r="C15" s="4" t="s">
        <v>9</v>
      </c>
      <c r="D15" s="4" t="n">
        <v>30</v>
      </c>
      <c r="E15" s="4" t="n">
        <v>0.2</v>
      </c>
      <c r="F15" s="4" t="n">
        <f aca="false">D15*E15</f>
        <v>6</v>
      </c>
      <c r="G15" s="4" t="s">
        <v>31</v>
      </c>
    </row>
    <row r="16" customFormat="false" ht="15" hidden="false" customHeight="false" outlineLevel="0" collapsed="false">
      <c r="A16" s="3" t="n">
        <v>13</v>
      </c>
      <c r="B16" s="3" t="s">
        <v>32</v>
      </c>
      <c r="C16" s="3" t="s">
        <v>33</v>
      </c>
      <c r="D16" s="3" t="n">
        <v>10</v>
      </c>
      <c r="E16" s="3" t="n">
        <v>2</v>
      </c>
      <c r="F16" s="3" t="n">
        <f aca="false">D16*E16</f>
        <v>20</v>
      </c>
      <c r="G16" s="3" t="s">
        <v>34</v>
      </c>
    </row>
    <row r="17" customFormat="false" ht="15" hidden="false" customHeight="false" outlineLevel="0" collapsed="false">
      <c r="A17" s="5" t="s">
        <v>35</v>
      </c>
      <c r="B17" s="5"/>
      <c r="C17" s="5"/>
      <c r="D17" s="5"/>
      <c r="E17" s="5"/>
      <c r="F17" s="6" t="n">
        <f aca="false">SUM(F4:F16)</f>
        <v>814</v>
      </c>
    </row>
    <row r="19" customFormat="false" ht="15" hidden="false" customHeight="false" outlineLevel="0" collapsed="false">
      <c r="A19" s="7" t="s">
        <v>36</v>
      </c>
      <c r="B19" s="8" t="n">
        <f aca="false">F17/10</f>
        <v>81.4</v>
      </c>
    </row>
  </sheetData>
  <mergeCells count="2">
    <mergeCell ref="A1:G1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</row>
    <row r="4" customFormat="false" ht="15" hidden="false" customHeight="false" outlineLevel="0" collapsed="false">
      <c r="A4" s="3" t="n">
        <v>1</v>
      </c>
      <c r="B4" s="3" t="s">
        <v>43</v>
      </c>
      <c r="C4" s="3" t="s">
        <v>44</v>
      </c>
      <c r="D4" s="3" t="n">
        <v>18</v>
      </c>
      <c r="E4" s="3" t="n">
        <v>100</v>
      </c>
      <c r="F4" s="3" t="n">
        <f aca="false">D4*E4</f>
        <v>1800</v>
      </c>
    </row>
    <row r="5" customFormat="false" ht="15" hidden="false" customHeight="false" outlineLevel="0" collapsed="false">
      <c r="A5" s="4" t="n">
        <v>2</v>
      </c>
      <c r="B5" s="4" t="s">
        <v>43</v>
      </c>
      <c r="C5" s="4" t="s">
        <v>45</v>
      </c>
      <c r="D5" s="4" t="n">
        <v>28</v>
      </c>
      <c r="E5" s="4" t="n">
        <v>100</v>
      </c>
      <c r="F5" s="4" t="n">
        <f aca="false">D5*E5</f>
        <v>2800</v>
      </c>
    </row>
    <row r="6" customFormat="false" ht="15" hidden="false" customHeight="false" outlineLevel="0" collapsed="false">
      <c r="A6" s="3" t="n">
        <v>3</v>
      </c>
      <c r="B6" s="3" t="s">
        <v>43</v>
      </c>
      <c r="C6" s="3" t="s">
        <v>46</v>
      </c>
      <c r="D6" s="3" t="n">
        <v>40</v>
      </c>
      <c r="E6" s="3" t="n">
        <v>100</v>
      </c>
      <c r="F6" s="3" t="n">
        <f aca="false">D6*E6</f>
        <v>4000</v>
      </c>
    </row>
    <row r="7" customFormat="false" ht="15" hidden="false" customHeight="false" outlineLevel="0" collapsed="false">
      <c r="A7" s="4" t="n">
        <v>4</v>
      </c>
      <c r="B7" s="4" t="s">
        <v>47</v>
      </c>
      <c r="C7" s="4" t="s">
        <v>48</v>
      </c>
      <c r="D7" s="4" t="n">
        <v>10</v>
      </c>
      <c r="E7" s="4" t="n">
        <v>500</v>
      </c>
      <c r="F7" s="4" t="n">
        <f aca="false">D7*E7</f>
        <v>5000</v>
      </c>
    </row>
    <row r="8" customFormat="false" ht="15" hidden="false" customHeight="false" outlineLevel="0" collapsed="false">
      <c r="A8" s="3" t="n">
        <v>5</v>
      </c>
      <c r="B8" s="3" t="s">
        <v>47</v>
      </c>
      <c r="C8" s="3" t="s">
        <v>45</v>
      </c>
      <c r="D8" s="3" t="n">
        <v>15</v>
      </c>
      <c r="E8" s="3" t="n">
        <v>500</v>
      </c>
      <c r="F8" s="3" t="n">
        <f aca="false">D8*E8</f>
        <v>7500</v>
      </c>
    </row>
    <row r="9" customFormat="false" ht="15" hidden="false" customHeight="false" outlineLevel="0" collapsed="false">
      <c r="A9" s="4" t="n">
        <v>6</v>
      </c>
      <c r="B9" s="4" t="s">
        <v>49</v>
      </c>
      <c r="C9" s="4" t="s">
        <v>44</v>
      </c>
      <c r="D9" s="4" t="n">
        <v>5</v>
      </c>
      <c r="E9" s="4" t="n">
        <v>1000</v>
      </c>
      <c r="F9" s="4" t="n">
        <f aca="false">D9*E9</f>
        <v>5000</v>
      </c>
    </row>
    <row r="10" customFormat="false" ht="15" hidden="false" customHeight="false" outlineLevel="0" collapsed="false">
      <c r="A10" s="3" t="n">
        <v>7</v>
      </c>
      <c r="B10" s="3" t="s">
        <v>50</v>
      </c>
      <c r="C10" s="3" t="s">
        <v>51</v>
      </c>
      <c r="D10" s="3" t="n">
        <v>2</v>
      </c>
      <c r="E10" s="3" t="n">
        <v>500</v>
      </c>
      <c r="F10" s="3" t="n">
        <f aca="false">D10*E10</f>
        <v>1000</v>
      </c>
    </row>
    <row r="11" customFormat="false" ht="15" hidden="false" customHeight="false" outlineLevel="0" collapsed="false">
      <c r="A11" s="4" t="n">
        <v>8</v>
      </c>
      <c r="B11" s="4" t="s">
        <v>52</v>
      </c>
      <c r="C11" s="4" t="s">
        <v>51</v>
      </c>
      <c r="D11" s="4" t="n">
        <v>0.5</v>
      </c>
      <c r="E11" s="4" t="n">
        <v>1000</v>
      </c>
      <c r="F11" s="4" t="n">
        <f aca="false">D11*E11</f>
        <v>500</v>
      </c>
    </row>
    <row r="12" customFormat="false" ht="15" hidden="false" customHeight="false" outlineLevel="0" collapsed="false">
      <c r="A12" s="3" t="n">
        <v>9</v>
      </c>
      <c r="B12" s="3" t="s">
        <v>53</v>
      </c>
      <c r="C12" s="3" t="s">
        <v>54</v>
      </c>
      <c r="D12" s="3" t="n">
        <v>25</v>
      </c>
      <c r="E12" s="3" t="n">
        <v>50</v>
      </c>
      <c r="F12" s="3" t="n">
        <f aca="false">D12*E12</f>
        <v>1250</v>
      </c>
    </row>
    <row r="13" customFormat="false" ht="15" hidden="false" customHeight="false" outlineLevel="0" collapsed="false">
      <c r="A13" s="4" t="n">
        <v>10</v>
      </c>
      <c r="B13" s="4" t="s">
        <v>55</v>
      </c>
      <c r="C13" s="4" t="s">
        <v>56</v>
      </c>
      <c r="D13" s="4" t="n">
        <v>350</v>
      </c>
      <c r="E13" s="4" t="n">
        <v>2</v>
      </c>
      <c r="F13" s="4" t="n">
        <f aca="false">D13*E13</f>
        <v>700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4" min="3" style="0" width="12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1" t="s">
        <v>57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58</v>
      </c>
      <c r="C3" s="2" t="s">
        <v>6</v>
      </c>
      <c r="D3" s="2" t="s">
        <v>59</v>
      </c>
      <c r="E3" s="2" t="s">
        <v>60</v>
      </c>
    </row>
    <row r="4" customFormat="false" ht="15" hidden="false" customHeight="false" outlineLevel="0" collapsed="false">
      <c r="A4" s="3" t="n">
        <v>1</v>
      </c>
      <c r="B4" s="3" t="s">
        <v>61</v>
      </c>
      <c r="C4" s="3" t="n">
        <v>100</v>
      </c>
      <c r="D4" s="3" t="s">
        <v>62</v>
      </c>
      <c r="E4" s="3" t="s">
        <v>63</v>
      </c>
    </row>
    <row r="5" customFormat="false" ht="15" hidden="false" customHeight="false" outlineLevel="0" collapsed="false">
      <c r="A5" s="4" t="n">
        <v>2</v>
      </c>
      <c r="B5" s="4" t="s">
        <v>64</v>
      </c>
      <c r="C5" s="4" t="n">
        <v>500</v>
      </c>
      <c r="D5" s="4" t="s">
        <v>65</v>
      </c>
      <c r="E5" s="4" t="s">
        <v>66</v>
      </c>
    </row>
    <row r="6" customFormat="false" ht="15" hidden="false" customHeight="false" outlineLevel="0" collapsed="false">
      <c r="A6" s="3" t="n">
        <v>3</v>
      </c>
      <c r="B6" s="3" t="s">
        <v>67</v>
      </c>
      <c r="C6" s="3" t="n">
        <v>2000</v>
      </c>
      <c r="D6" s="3" t="s">
        <v>62</v>
      </c>
      <c r="E6" s="3" t="s">
        <v>68</v>
      </c>
    </row>
    <row r="7" customFormat="false" ht="15" hidden="false" customHeight="false" outlineLevel="0" collapsed="false">
      <c r="A7" s="4" t="n">
        <v>4</v>
      </c>
      <c r="B7" s="4" t="s">
        <v>69</v>
      </c>
      <c r="C7" s="4" t="n">
        <v>10000</v>
      </c>
      <c r="D7" s="4" t="s">
        <v>65</v>
      </c>
      <c r="E7" s="4" t="s">
        <v>70</v>
      </c>
    </row>
    <row r="8" customFormat="false" ht="15" hidden="false" customHeight="false" outlineLevel="0" collapsed="false">
      <c r="A8" s="3" t="n">
        <v>5</v>
      </c>
      <c r="B8" s="3" t="s">
        <v>71</v>
      </c>
      <c r="C8" s="3" t="n">
        <v>0</v>
      </c>
      <c r="D8" s="3" t="s">
        <v>72</v>
      </c>
      <c r="E8" s="3" t="s">
        <v>73</v>
      </c>
    </row>
    <row r="9" customFormat="false" ht="15" hidden="false" customHeight="false" outlineLevel="0" collapsed="false">
      <c r="A9" s="4" t="n">
        <v>6</v>
      </c>
      <c r="B9" s="4" t="s">
        <v>74</v>
      </c>
      <c r="C9" s="4" t="n">
        <v>0</v>
      </c>
      <c r="D9" s="4" t="s">
        <v>72</v>
      </c>
      <c r="E9" s="4" t="s">
        <v>75</v>
      </c>
    </row>
    <row r="10" customFormat="false" ht="15" hidden="false" customHeight="false" outlineLevel="0" collapsed="false">
      <c r="A10" s="3" t="n">
        <v>7</v>
      </c>
      <c r="B10" s="3" t="s">
        <v>76</v>
      </c>
      <c r="C10" s="3" t="n">
        <v>1500</v>
      </c>
      <c r="D10" s="3" t="s">
        <v>77</v>
      </c>
      <c r="E10" s="3" t="s">
        <v>78</v>
      </c>
    </row>
    <row r="11" customFormat="false" ht="15" hidden="false" customHeight="false" outlineLevel="0" collapsed="false">
      <c r="A11" s="4" t="n">
        <v>8</v>
      </c>
      <c r="B11" s="4" t="s">
        <v>79</v>
      </c>
      <c r="C11" s="4" t="n">
        <v>3000</v>
      </c>
      <c r="D11" s="4" t="s">
        <v>77</v>
      </c>
      <c r="E11" s="4" t="s">
        <v>80</v>
      </c>
    </row>
    <row r="12" customFormat="false" ht="15" hidden="false" customHeight="false" outlineLevel="0" collapsed="false">
      <c r="A12" s="3" t="n">
        <v>9</v>
      </c>
      <c r="B12" s="3" t="s">
        <v>81</v>
      </c>
      <c r="C12" s="3" t="n">
        <v>4500</v>
      </c>
      <c r="D12" s="3" t="s">
        <v>82</v>
      </c>
      <c r="E12" s="3" t="s">
        <v>83</v>
      </c>
    </row>
    <row r="13" customFormat="false" ht="15" hidden="false" customHeight="false" outlineLevel="0" collapsed="false">
      <c r="A13" s="4" t="n">
        <v>10</v>
      </c>
      <c r="B13" s="4" t="s">
        <v>84</v>
      </c>
      <c r="C13" s="4" t="n">
        <v>4000</v>
      </c>
      <c r="D13" s="4" t="s">
        <v>62</v>
      </c>
      <c r="E13" s="4" t="s">
        <v>85</v>
      </c>
    </row>
    <row r="14" customFormat="false" ht="15" hidden="false" customHeight="false" outlineLevel="0" collapsed="false">
      <c r="A14" s="3" t="n">
        <v>11</v>
      </c>
      <c r="B14" s="3" t="s">
        <v>86</v>
      </c>
      <c r="C14" s="3" t="n">
        <v>9000</v>
      </c>
      <c r="D14" s="3" t="s">
        <v>62</v>
      </c>
      <c r="E14" s="3" t="s">
        <v>87</v>
      </c>
    </row>
    <row r="15" customFormat="false" ht="15" hidden="false" customHeight="false" outlineLevel="0" collapsed="false">
      <c r="A15" s="4" t="n">
        <v>12</v>
      </c>
      <c r="B15" s="4" t="s">
        <v>88</v>
      </c>
      <c r="C15" s="4" t="n">
        <v>500</v>
      </c>
      <c r="D15" s="4" t="s">
        <v>72</v>
      </c>
      <c r="E15" s="4" t="s">
        <v>89</v>
      </c>
    </row>
    <row r="16" customFormat="false" ht="15" hidden="false" customHeight="false" outlineLevel="0" collapsed="false">
      <c r="A16" s="3" t="n">
        <v>13</v>
      </c>
      <c r="B16" s="3" t="s">
        <v>90</v>
      </c>
      <c r="C16" s="3" t="n">
        <v>5000</v>
      </c>
      <c r="D16" s="3" t="s">
        <v>77</v>
      </c>
      <c r="E16" s="3" t="s">
        <v>91</v>
      </c>
    </row>
    <row r="18" customFormat="false" ht="15" hidden="false" customHeight="false" outlineLevel="0" collapsed="false">
      <c r="A18" s="5" t="s">
        <v>92</v>
      </c>
      <c r="B18" s="5"/>
      <c r="C18" s="9" t="n">
        <f aca="false">C4+C5</f>
        <v>600</v>
      </c>
    </row>
  </sheetData>
  <mergeCells count="2">
    <mergeCell ref="A1:E1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93</v>
      </c>
      <c r="B1" s="1"/>
      <c r="C1" s="1"/>
      <c r="D1" s="1"/>
      <c r="E1" s="1"/>
    </row>
    <row r="3" customFormat="false" ht="15" hidden="false" customHeight="false" outlineLevel="0" collapsed="false">
      <c r="A3" s="10" t="s">
        <v>94</v>
      </c>
      <c r="B3" s="10"/>
      <c r="C3" s="10"/>
      <c r="D3" s="10"/>
      <c r="E3" s="10"/>
    </row>
    <row r="4" customFormat="false" ht="15" hidden="false" customHeight="false" outlineLevel="0" collapsed="false">
      <c r="A4" s="2" t="s">
        <v>1</v>
      </c>
      <c r="B4" s="2" t="s">
        <v>95</v>
      </c>
      <c r="C4" s="2" t="s">
        <v>96</v>
      </c>
      <c r="D4" s="2" t="s">
        <v>97</v>
      </c>
      <c r="E4" s="2" t="s">
        <v>98</v>
      </c>
    </row>
    <row r="5" customFormat="false" ht="15" hidden="false" customHeight="false" outlineLevel="0" collapsed="false">
      <c r="A5" s="3" t="n">
        <v>1</v>
      </c>
      <c r="B5" s="3" t="s">
        <v>99</v>
      </c>
      <c r="C5" s="3" t="s">
        <v>100</v>
      </c>
      <c r="D5" s="3" t="s">
        <v>101</v>
      </c>
      <c r="E5" s="3" t="s">
        <v>102</v>
      </c>
    </row>
    <row r="6" customFormat="false" ht="15" hidden="false" customHeight="false" outlineLevel="0" collapsed="false">
      <c r="A6" s="4" t="n">
        <v>2</v>
      </c>
      <c r="B6" s="4" t="s">
        <v>103</v>
      </c>
      <c r="C6" s="4" t="s">
        <v>104</v>
      </c>
      <c r="D6" s="4" t="s">
        <v>105</v>
      </c>
      <c r="E6" s="4" t="s">
        <v>102</v>
      </c>
    </row>
    <row r="7" customFormat="false" ht="15" hidden="false" customHeight="false" outlineLevel="0" collapsed="false">
      <c r="A7" s="3" t="n">
        <v>3</v>
      </c>
      <c r="B7" s="3" t="s">
        <v>106</v>
      </c>
      <c r="C7" s="3" t="s">
        <v>107</v>
      </c>
      <c r="D7" s="3" t="s">
        <v>108</v>
      </c>
      <c r="E7" s="3" t="s">
        <v>102</v>
      </c>
    </row>
    <row r="8" customFormat="false" ht="15" hidden="false" customHeight="false" outlineLevel="0" collapsed="false">
      <c r="A8" s="4" t="n">
        <v>4</v>
      </c>
      <c r="B8" s="4" t="s">
        <v>109</v>
      </c>
      <c r="C8" s="4" t="s">
        <v>110</v>
      </c>
      <c r="D8" s="4" t="s">
        <v>111</v>
      </c>
      <c r="E8" s="4" t="s">
        <v>102</v>
      </c>
    </row>
    <row r="9" customFormat="false" ht="15" hidden="false" customHeight="false" outlineLevel="0" collapsed="false">
      <c r="A9" s="3" t="n">
        <v>5</v>
      </c>
      <c r="B9" s="3" t="s">
        <v>112</v>
      </c>
      <c r="C9" s="3" t="s">
        <v>113</v>
      </c>
      <c r="D9" s="3" t="s">
        <v>114</v>
      </c>
      <c r="E9" s="3" t="s">
        <v>102</v>
      </c>
    </row>
    <row r="10" customFormat="false" ht="15" hidden="false" customHeight="false" outlineLevel="0" collapsed="false">
      <c r="A10" s="4" t="n">
        <v>6</v>
      </c>
      <c r="B10" s="4" t="s">
        <v>115</v>
      </c>
      <c r="C10" s="4" t="s">
        <v>116</v>
      </c>
      <c r="D10" s="4" t="s">
        <v>117</v>
      </c>
      <c r="E10" s="4" t="s">
        <v>118</v>
      </c>
    </row>
    <row r="11" customFormat="false" ht="15" hidden="false" customHeight="false" outlineLevel="0" collapsed="false">
      <c r="A11" s="3" t="n">
        <v>7</v>
      </c>
      <c r="B11" s="3" t="s">
        <v>119</v>
      </c>
      <c r="C11" s="3" t="s">
        <v>120</v>
      </c>
      <c r="D11" s="3" t="s">
        <v>121</v>
      </c>
      <c r="E11" s="3" t="s">
        <v>118</v>
      </c>
    </row>
    <row r="12" customFormat="false" ht="15" hidden="false" customHeight="false" outlineLevel="0" collapsed="false">
      <c r="A12" s="4" t="n">
        <v>8</v>
      </c>
      <c r="B12" s="4" t="s">
        <v>122</v>
      </c>
      <c r="C12" s="4" t="s">
        <v>123</v>
      </c>
      <c r="D12" s="4" t="s">
        <v>124</v>
      </c>
      <c r="E12" s="4" t="s">
        <v>125</v>
      </c>
    </row>
    <row r="13" customFormat="false" ht="15" hidden="false" customHeight="false" outlineLevel="0" collapsed="false">
      <c r="A13" s="3" t="n">
        <v>9</v>
      </c>
      <c r="B13" s="3" t="s">
        <v>126</v>
      </c>
      <c r="C13" s="3" t="s">
        <v>127</v>
      </c>
      <c r="D13" s="3" t="s">
        <v>128</v>
      </c>
      <c r="E13" s="3" t="s">
        <v>125</v>
      </c>
    </row>
    <row r="14" customFormat="false" ht="15" hidden="false" customHeight="false" outlineLevel="0" collapsed="false">
      <c r="A14" s="4" t="n">
        <v>10</v>
      </c>
      <c r="B14" s="4" t="s">
        <v>129</v>
      </c>
      <c r="C14" s="4" t="s">
        <v>130</v>
      </c>
      <c r="D14" s="4" t="s">
        <v>131</v>
      </c>
      <c r="E14" s="4" t="s">
        <v>102</v>
      </c>
    </row>
    <row r="16" customFormat="false" ht="15" hidden="false" customHeight="false" outlineLevel="0" collapsed="false">
      <c r="A16" s="5" t="s">
        <v>132</v>
      </c>
      <c r="B16" s="5"/>
      <c r="C16" s="5"/>
      <c r="D16" s="9" t="s">
        <v>133</v>
      </c>
    </row>
    <row r="18" customFormat="false" ht="15" hidden="false" customHeight="false" outlineLevel="0" collapsed="false">
      <c r="A18" s="10" t="s">
        <v>134</v>
      </c>
      <c r="B18" s="10"/>
      <c r="C18" s="10"/>
      <c r="D18" s="10"/>
      <c r="E18" s="10"/>
    </row>
    <row r="19" customFormat="false" ht="15" hidden="false" customHeight="false" outlineLevel="0" collapsed="false">
      <c r="A19" s="2" t="s">
        <v>1</v>
      </c>
      <c r="B19" s="2" t="s">
        <v>95</v>
      </c>
      <c r="C19" s="2" t="s">
        <v>96</v>
      </c>
      <c r="D19" s="2" t="s">
        <v>97</v>
      </c>
      <c r="E19" s="2" t="s">
        <v>98</v>
      </c>
    </row>
    <row r="20" customFormat="false" ht="15" hidden="false" customHeight="false" outlineLevel="0" collapsed="false">
      <c r="A20" s="3" t="n">
        <v>1</v>
      </c>
      <c r="B20" s="3" t="s">
        <v>135</v>
      </c>
      <c r="C20" s="3" t="s">
        <v>136</v>
      </c>
      <c r="D20" s="3" t="s">
        <v>137</v>
      </c>
      <c r="E20" s="3" t="s">
        <v>102</v>
      </c>
    </row>
    <row r="21" customFormat="false" ht="15" hidden="false" customHeight="false" outlineLevel="0" collapsed="false">
      <c r="A21" s="4" t="n">
        <v>2</v>
      </c>
      <c r="B21" s="4" t="s">
        <v>138</v>
      </c>
      <c r="C21" s="4" t="s">
        <v>139</v>
      </c>
      <c r="D21" s="4" t="s">
        <v>140</v>
      </c>
      <c r="E21" s="4" t="s">
        <v>125</v>
      </c>
    </row>
    <row r="22" customFormat="false" ht="15" hidden="false" customHeight="false" outlineLevel="0" collapsed="false">
      <c r="A22" s="3" t="n">
        <v>3</v>
      </c>
      <c r="B22" s="3" t="s">
        <v>141</v>
      </c>
      <c r="C22" s="3" t="s">
        <v>142</v>
      </c>
      <c r="D22" s="3" t="s">
        <v>143</v>
      </c>
      <c r="E22" s="3" t="s">
        <v>102</v>
      </c>
    </row>
    <row r="23" customFormat="false" ht="15" hidden="false" customHeight="false" outlineLevel="0" collapsed="false">
      <c r="A23" s="4" t="n">
        <v>4</v>
      </c>
      <c r="B23" s="4" t="s">
        <v>144</v>
      </c>
      <c r="C23" s="4" t="s">
        <v>145</v>
      </c>
      <c r="D23" s="4" t="s">
        <v>146</v>
      </c>
      <c r="E23" s="4" t="s">
        <v>102</v>
      </c>
    </row>
    <row r="24" customFormat="false" ht="15" hidden="false" customHeight="false" outlineLevel="0" collapsed="false">
      <c r="A24" s="3" t="n">
        <v>5</v>
      </c>
      <c r="B24" s="3" t="s">
        <v>147</v>
      </c>
      <c r="C24" s="3" t="s">
        <v>148</v>
      </c>
      <c r="D24" s="3" t="s">
        <v>149</v>
      </c>
      <c r="E24" s="3" t="s">
        <v>102</v>
      </c>
    </row>
    <row r="25" customFormat="false" ht="15" hidden="false" customHeight="false" outlineLevel="0" collapsed="false">
      <c r="A25" s="4" t="n">
        <v>6</v>
      </c>
      <c r="B25" s="4" t="s">
        <v>150</v>
      </c>
      <c r="C25" s="4" t="s">
        <v>151</v>
      </c>
      <c r="D25" s="4" t="s">
        <v>152</v>
      </c>
      <c r="E25" s="4" t="s">
        <v>118</v>
      </c>
    </row>
    <row r="26" customFormat="false" ht="15" hidden="false" customHeight="false" outlineLevel="0" collapsed="false">
      <c r="A26" s="3" t="n">
        <v>7</v>
      </c>
      <c r="B26" s="3" t="s">
        <v>153</v>
      </c>
      <c r="C26" s="3" t="s">
        <v>154</v>
      </c>
      <c r="D26" s="3" t="s">
        <v>155</v>
      </c>
      <c r="E26" s="3" t="s">
        <v>125</v>
      </c>
    </row>
    <row r="27" customFormat="false" ht="15" hidden="false" customHeight="false" outlineLevel="0" collapsed="false">
      <c r="A27" s="4" t="n">
        <v>8</v>
      </c>
      <c r="B27" s="4" t="s">
        <v>156</v>
      </c>
      <c r="C27" s="4" t="s">
        <v>157</v>
      </c>
      <c r="D27" s="4" t="s">
        <v>158</v>
      </c>
      <c r="E27" s="4" t="s">
        <v>118</v>
      </c>
    </row>
    <row r="29" customFormat="false" ht="15" hidden="false" customHeight="false" outlineLevel="0" collapsed="false">
      <c r="A29" s="5" t="s">
        <v>159</v>
      </c>
      <c r="B29" s="5"/>
      <c r="C29" s="5"/>
      <c r="D29" s="9" t="s">
        <v>160</v>
      </c>
    </row>
  </sheetData>
  <mergeCells count="5">
    <mergeCell ref="A1:E1"/>
    <mergeCell ref="A3:E3"/>
    <mergeCell ref="A16:C16"/>
    <mergeCell ref="A18:E1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6" min="3" style="0" width="15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161</v>
      </c>
      <c r="B1" s="1"/>
      <c r="C1" s="1"/>
      <c r="D1" s="1"/>
      <c r="E1" s="1"/>
      <c r="F1" s="1"/>
    </row>
    <row r="3" customFormat="false" ht="28.35" hidden="false" customHeight="false" outlineLevel="0" collapsed="false">
      <c r="A3" s="2" t="s">
        <v>162</v>
      </c>
      <c r="B3" s="2" t="s">
        <v>163</v>
      </c>
      <c r="C3" s="2" t="s">
        <v>164</v>
      </c>
      <c r="D3" s="2" t="s">
        <v>165</v>
      </c>
      <c r="E3" s="2" t="s">
        <v>166</v>
      </c>
      <c r="F3" s="2" t="s">
        <v>167</v>
      </c>
      <c r="G3" s="2" t="s">
        <v>168</v>
      </c>
    </row>
    <row r="4" customFormat="false" ht="15" hidden="false" customHeight="false" outlineLevel="0" collapsed="false">
      <c r="A4" s="3" t="s">
        <v>169</v>
      </c>
      <c r="B4" s="3" t="n">
        <v>42</v>
      </c>
      <c r="C4" s="3" t="n">
        <v>8</v>
      </c>
      <c r="D4" s="3" t="n">
        <f aca="false">B4+C4</f>
        <v>50</v>
      </c>
      <c r="E4" s="3" t="n">
        <v>99</v>
      </c>
      <c r="F4" s="3" t="n">
        <f aca="false">E4-D4</f>
        <v>49</v>
      </c>
      <c r="G4" s="3" t="n">
        <f aca="false">F4/E4*100</f>
        <v>49.4949494949495</v>
      </c>
    </row>
    <row r="5" customFormat="false" ht="15" hidden="false" customHeight="false" outlineLevel="0" collapsed="false">
      <c r="A5" s="4" t="s">
        <v>170</v>
      </c>
      <c r="B5" s="4" t="n">
        <v>84</v>
      </c>
      <c r="C5" s="4" t="n">
        <v>10</v>
      </c>
      <c r="D5" s="4" t="n">
        <f aca="false">B5+C5</f>
        <v>94</v>
      </c>
      <c r="E5" s="4" t="n">
        <v>179</v>
      </c>
      <c r="F5" s="4" t="n">
        <f aca="false">E5-D5</f>
        <v>85</v>
      </c>
      <c r="G5" s="4" t="n">
        <f aca="false">F5/E5*100</f>
        <v>47.4860335195531</v>
      </c>
    </row>
    <row r="6" customFormat="false" ht="15" hidden="false" customHeight="false" outlineLevel="0" collapsed="false">
      <c r="A6" s="3" t="s">
        <v>171</v>
      </c>
      <c r="B6" s="3" t="n">
        <v>105</v>
      </c>
      <c r="C6" s="3" t="n">
        <v>15</v>
      </c>
      <c r="D6" s="3" t="n">
        <f aca="false">B6+C6</f>
        <v>120</v>
      </c>
      <c r="E6" s="3" t="n">
        <v>249</v>
      </c>
      <c r="F6" s="3" t="n">
        <f aca="false">E6-D6</f>
        <v>129</v>
      </c>
      <c r="G6" s="3" t="n">
        <f aca="false">F6/E6*100</f>
        <v>51.8072289156627</v>
      </c>
    </row>
    <row r="7" customFormat="false" ht="15" hidden="false" customHeight="false" outlineLevel="0" collapsed="false">
      <c r="A7" s="4" t="s">
        <v>172</v>
      </c>
      <c r="B7" s="4" t="n">
        <v>210</v>
      </c>
      <c r="C7" s="4" t="n">
        <v>25</v>
      </c>
      <c r="D7" s="4" t="n">
        <f aca="false">B7+C7</f>
        <v>235</v>
      </c>
      <c r="E7" s="4" t="n">
        <v>449</v>
      </c>
      <c r="F7" s="4" t="n">
        <f aca="false">E7-D7</f>
        <v>214</v>
      </c>
      <c r="G7" s="4" t="n">
        <f aca="false">F7/E7*100</f>
        <v>47.6614699331849</v>
      </c>
    </row>
    <row r="8" customFormat="false" ht="15" hidden="false" customHeight="false" outlineLevel="0" collapsed="false">
      <c r="A8" s="3" t="s">
        <v>173</v>
      </c>
      <c r="B8" s="3" t="n">
        <v>420</v>
      </c>
      <c r="C8" s="3" t="n">
        <v>45</v>
      </c>
      <c r="D8" s="3" t="n">
        <f aca="false">B8+C8</f>
        <v>465</v>
      </c>
      <c r="E8" s="3" t="n">
        <v>799</v>
      </c>
      <c r="F8" s="3" t="n">
        <f aca="false">E8-D8</f>
        <v>334</v>
      </c>
      <c r="G8" s="3" t="n">
        <f aca="false">F8/E8*100</f>
        <v>41.80225281602</v>
      </c>
    </row>
    <row r="11" customFormat="false" ht="15" hidden="false" customHeight="false" outlineLevel="0" collapsed="false">
      <c r="A11" s="10" t="s">
        <v>174</v>
      </c>
      <c r="B11" s="10"/>
      <c r="C11" s="10"/>
      <c r="D11" s="10"/>
      <c r="E11" s="10"/>
      <c r="F11" s="10"/>
    </row>
    <row r="12" customFormat="false" ht="15" hidden="false" customHeight="false" outlineLevel="0" collapsed="false">
      <c r="A12" s="2" t="s">
        <v>175</v>
      </c>
      <c r="B12" s="2" t="s">
        <v>176</v>
      </c>
      <c r="C12" s="2" t="s">
        <v>177</v>
      </c>
      <c r="D12" s="2" t="s">
        <v>178</v>
      </c>
      <c r="E12" s="2" t="s">
        <v>179</v>
      </c>
      <c r="F12" s="2" t="s">
        <v>167</v>
      </c>
    </row>
    <row r="13" customFormat="false" ht="15" hidden="false" customHeight="false" outlineLevel="0" collapsed="false">
      <c r="A13" s="3" t="s">
        <v>180</v>
      </c>
      <c r="B13" s="3" t="n">
        <v>50</v>
      </c>
      <c r="C13" s="3" t="n">
        <v>600</v>
      </c>
      <c r="D13" s="3" t="n">
        <f aca="false">B13*C13</f>
        <v>30000</v>
      </c>
      <c r="E13" s="3" t="n">
        <v>470</v>
      </c>
      <c r="F13" s="3" t="n">
        <f aca="false">D13-(B13*E13)</f>
        <v>6500</v>
      </c>
    </row>
    <row r="14" customFormat="false" ht="15" hidden="false" customHeight="false" outlineLevel="0" collapsed="false">
      <c r="A14" s="4" t="s">
        <v>181</v>
      </c>
      <c r="B14" s="4" t="n">
        <v>100</v>
      </c>
      <c r="C14" s="4" t="n">
        <v>600</v>
      </c>
      <c r="D14" s="4" t="n">
        <f aca="false">B14*C14</f>
        <v>60000</v>
      </c>
      <c r="E14" s="4" t="n">
        <v>470</v>
      </c>
      <c r="F14" s="4" t="n">
        <f aca="false">D14-(B14*E14)</f>
        <v>13000</v>
      </c>
    </row>
    <row r="15" customFormat="false" ht="15" hidden="false" customHeight="false" outlineLevel="0" collapsed="false">
      <c r="A15" s="3" t="s">
        <v>182</v>
      </c>
      <c r="B15" s="3" t="n">
        <v>200</v>
      </c>
      <c r="C15" s="3" t="n">
        <v>600</v>
      </c>
      <c r="D15" s="3" t="n">
        <f aca="false">B15*C15</f>
        <v>120000</v>
      </c>
      <c r="E15" s="3" t="n">
        <v>470</v>
      </c>
      <c r="F15" s="3" t="n">
        <f aca="false">D15-(B15*E15)</f>
        <v>26000</v>
      </c>
    </row>
    <row r="16" customFormat="false" ht="15" hidden="false" customHeight="false" outlineLevel="0" collapsed="false">
      <c r="A16" s="4" t="s">
        <v>183</v>
      </c>
      <c r="B16" s="4" t="n">
        <v>500</v>
      </c>
      <c r="C16" s="4" t="n">
        <v>550</v>
      </c>
      <c r="D16" s="4" t="n">
        <f aca="false">B16*C16</f>
        <v>275000</v>
      </c>
      <c r="E16" s="4" t="n">
        <v>420</v>
      </c>
      <c r="F16" s="4" t="n">
        <f aca="false">D16-(B16*E16)</f>
        <v>65000</v>
      </c>
    </row>
  </sheetData>
  <mergeCells count="2">
    <mergeCell ref="A1:F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184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185</v>
      </c>
      <c r="C3" s="2" t="s">
        <v>186</v>
      </c>
      <c r="D3" s="2" t="s">
        <v>187</v>
      </c>
      <c r="E3" s="2" t="s">
        <v>188</v>
      </c>
    </row>
    <row r="4" customFormat="false" ht="15" hidden="false" customHeight="false" outlineLevel="0" collapsed="false">
      <c r="A4" s="3" t="n">
        <v>1</v>
      </c>
      <c r="B4" s="3" t="s">
        <v>189</v>
      </c>
      <c r="C4" s="3" t="s">
        <v>190</v>
      </c>
      <c r="D4" s="3" t="s">
        <v>191</v>
      </c>
      <c r="E4" s="3" t="s">
        <v>192</v>
      </c>
    </row>
    <row r="5" customFormat="false" ht="15" hidden="false" customHeight="false" outlineLevel="0" collapsed="false">
      <c r="A5" s="4" t="n">
        <v>2</v>
      </c>
      <c r="B5" s="4" t="s">
        <v>193</v>
      </c>
      <c r="C5" s="4" t="s">
        <v>194</v>
      </c>
      <c r="D5" s="4" t="s">
        <v>195</v>
      </c>
      <c r="E5" s="4" t="s">
        <v>192</v>
      </c>
    </row>
    <row r="6" customFormat="false" ht="15" hidden="false" customHeight="false" outlineLevel="0" collapsed="false">
      <c r="A6" s="3" t="n">
        <v>3</v>
      </c>
      <c r="B6" s="3" t="s">
        <v>196</v>
      </c>
      <c r="C6" s="3" t="s">
        <v>197</v>
      </c>
      <c r="D6" s="3" t="s">
        <v>198</v>
      </c>
      <c r="E6" s="3" t="s">
        <v>192</v>
      </c>
    </row>
    <row r="7" customFormat="false" ht="15" hidden="false" customHeight="false" outlineLevel="0" collapsed="false">
      <c r="A7" s="4" t="n">
        <v>4</v>
      </c>
      <c r="B7" s="4" t="s">
        <v>199</v>
      </c>
      <c r="C7" s="4" t="s">
        <v>45</v>
      </c>
      <c r="D7" s="4" t="s">
        <v>191</v>
      </c>
      <c r="E7" s="4" t="s">
        <v>200</v>
      </c>
    </row>
    <row r="8" customFormat="false" ht="15" hidden="false" customHeight="false" outlineLevel="0" collapsed="false">
      <c r="A8" s="3" t="n">
        <v>5</v>
      </c>
      <c r="B8" s="3" t="s">
        <v>199</v>
      </c>
      <c r="C8" s="3" t="s">
        <v>46</v>
      </c>
      <c r="D8" s="3" t="s">
        <v>201</v>
      </c>
      <c r="E8" s="3" t="s">
        <v>200</v>
      </c>
    </row>
    <row r="9" customFormat="false" ht="15" hidden="false" customHeight="false" outlineLevel="0" collapsed="false">
      <c r="A9" s="4" t="n">
        <v>6</v>
      </c>
      <c r="B9" s="4" t="s">
        <v>202</v>
      </c>
      <c r="C9" s="4" t="s">
        <v>45</v>
      </c>
      <c r="D9" s="4" t="s">
        <v>203</v>
      </c>
      <c r="E9" s="4" t="s">
        <v>200</v>
      </c>
    </row>
    <row r="10" customFormat="false" ht="15" hidden="false" customHeight="false" outlineLevel="0" collapsed="false">
      <c r="A10" s="3" t="n">
        <v>7</v>
      </c>
      <c r="B10" s="3" t="s">
        <v>204</v>
      </c>
      <c r="C10" s="3" t="s">
        <v>45</v>
      </c>
      <c r="D10" s="3" t="s">
        <v>205</v>
      </c>
      <c r="E10" s="3" t="s">
        <v>206</v>
      </c>
    </row>
    <row r="11" customFormat="false" ht="15" hidden="false" customHeight="false" outlineLevel="0" collapsed="false">
      <c r="A11" s="4" t="n">
        <v>8</v>
      </c>
      <c r="B11" s="4" t="s">
        <v>207</v>
      </c>
      <c r="C11" s="4" t="s">
        <v>46</v>
      </c>
      <c r="D11" s="4" t="s">
        <v>208</v>
      </c>
      <c r="E11" s="4" t="s">
        <v>209</v>
      </c>
    </row>
    <row r="12" customFormat="false" ht="15" hidden="false" customHeight="false" outlineLevel="0" collapsed="false">
      <c r="A12" s="3" t="n">
        <v>9</v>
      </c>
      <c r="B12" s="3" t="s">
        <v>210</v>
      </c>
      <c r="C12" s="3" t="s">
        <v>45</v>
      </c>
      <c r="D12" s="3" t="s">
        <v>211</v>
      </c>
      <c r="E12" s="3" t="s">
        <v>209</v>
      </c>
    </row>
    <row r="13" customFormat="false" ht="15" hidden="false" customHeight="false" outlineLevel="0" collapsed="false">
      <c r="A13" s="4" t="n">
        <v>10</v>
      </c>
      <c r="B13" s="4" t="s">
        <v>212</v>
      </c>
      <c r="C13" s="4" t="s">
        <v>213</v>
      </c>
      <c r="D13" s="4" t="s">
        <v>214</v>
      </c>
      <c r="E13" s="4" t="s">
        <v>192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215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216</v>
      </c>
      <c r="C3" s="2" t="s">
        <v>217</v>
      </c>
      <c r="D3" s="2" t="s">
        <v>218</v>
      </c>
    </row>
    <row r="4" customFormat="false" ht="15" hidden="false" customHeight="false" outlineLevel="0" collapsed="false">
      <c r="A4" s="3" t="n">
        <v>1</v>
      </c>
      <c r="B4" s="3" t="s">
        <v>219</v>
      </c>
      <c r="C4" s="3" t="n">
        <v>21000</v>
      </c>
      <c r="D4" s="3" t="n">
        <v>42000</v>
      </c>
    </row>
    <row r="5" customFormat="false" ht="15" hidden="false" customHeight="false" outlineLevel="0" collapsed="false">
      <c r="A5" s="4" t="n">
        <v>2</v>
      </c>
      <c r="B5" s="4" t="s">
        <v>220</v>
      </c>
      <c r="C5" s="4" t="n">
        <v>5000</v>
      </c>
      <c r="D5" s="4" t="n">
        <v>15000</v>
      </c>
    </row>
    <row r="6" customFormat="false" ht="15" hidden="false" customHeight="false" outlineLevel="0" collapsed="false">
      <c r="A6" s="3" t="n">
        <v>3</v>
      </c>
      <c r="B6" s="3" t="s">
        <v>221</v>
      </c>
      <c r="C6" s="3" t="n">
        <v>1500</v>
      </c>
      <c r="D6" s="3" t="n">
        <v>8000</v>
      </c>
    </row>
    <row r="7" customFormat="false" ht="15" hidden="false" customHeight="false" outlineLevel="0" collapsed="false">
      <c r="A7" s="4" t="n">
        <v>4</v>
      </c>
      <c r="B7" s="4" t="s">
        <v>222</v>
      </c>
      <c r="C7" s="4" t="n">
        <v>1000</v>
      </c>
      <c r="D7" s="4" t="n">
        <v>5000</v>
      </c>
    </row>
    <row r="8" customFormat="false" ht="15" hidden="false" customHeight="false" outlineLevel="0" collapsed="false">
      <c r="A8" s="3" t="n">
        <v>5</v>
      </c>
      <c r="B8" s="3" t="s">
        <v>223</v>
      </c>
      <c r="C8" s="3" t="n">
        <v>0</v>
      </c>
      <c r="D8" s="3" t="n">
        <v>25000</v>
      </c>
    </row>
    <row r="9" customFormat="false" ht="15" hidden="false" customHeight="false" outlineLevel="0" collapsed="false">
      <c r="A9" s="4" t="n">
        <v>6</v>
      </c>
      <c r="B9" s="4" t="s">
        <v>224</v>
      </c>
      <c r="C9" s="4" t="n">
        <v>0</v>
      </c>
      <c r="D9" s="4" t="n">
        <v>30000</v>
      </c>
    </row>
    <row r="10" customFormat="false" ht="15" hidden="false" customHeight="false" outlineLevel="0" collapsed="false">
      <c r="A10" s="3" t="n">
        <v>7</v>
      </c>
      <c r="B10" s="3" t="s">
        <v>225</v>
      </c>
      <c r="C10" s="3" t="n">
        <v>2000</v>
      </c>
      <c r="D10" s="3" t="n">
        <v>10000</v>
      </c>
    </row>
    <row r="11" customFormat="false" ht="15" hidden="false" customHeight="false" outlineLevel="0" collapsed="false">
      <c r="A11" s="4" t="n">
        <v>8</v>
      </c>
      <c r="B11" s="4" t="s">
        <v>226</v>
      </c>
      <c r="C11" s="4" t="n">
        <v>3000</v>
      </c>
      <c r="D11" s="4" t="n">
        <v>15000</v>
      </c>
    </row>
    <row r="12" customFormat="false" ht="15" hidden="false" customHeight="false" outlineLevel="0" collapsed="false">
      <c r="A12" s="3" t="n">
        <v>9</v>
      </c>
      <c r="B12" s="3" t="s">
        <v>227</v>
      </c>
      <c r="C12" s="3" t="n">
        <v>3600</v>
      </c>
      <c r="D12" s="3" t="n">
        <v>18000</v>
      </c>
    </row>
    <row r="13" customFormat="false" ht="15" hidden="false" customHeight="false" outlineLevel="0" collapsed="false">
      <c r="A13" s="4" t="n">
        <v>10</v>
      </c>
      <c r="B13" s="4" t="s">
        <v>228</v>
      </c>
      <c r="C13" s="4" t="n">
        <v>2000</v>
      </c>
      <c r="D13" s="4" t="n">
        <v>5000</v>
      </c>
    </row>
    <row r="15" customFormat="false" ht="15" hidden="false" customHeight="false" outlineLevel="0" collapsed="false">
      <c r="A15" s="5" t="s">
        <v>229</v>
      </c>
      <c r="B15" s="5"/>
      <c r="C15" s="9" t="n">
        <f aca="false">SUM(C4:C13)</f>
        <v>39100</v>
      </c>
      <c r="D15" s="9" t="n">
        <f aca="false">SUM(D4:D13)</f>
        <v>173000</v>
      </c>
    </row>
  </sheetData>
  <mergeCells count="2">
    <mergeCell ref="A1:D1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230</v>
      </c>
      <c r="B1" s="1"/>
      <c r="C1" s="1"/>
      <c r="D1" s="1"/>
    </row>
    <row r="3" customFormat="false" ht="15" hidden="false" customHeight="false" outlineLevel="0" collapsed="false">
      <c r="A3" s="2" t="s">
        <v>231</v>
      </c>
      <c r="B3" s="2" t="s">
        <v>217</v>
      </c>
      <c r="C3" s="2" t="s">
        <v>232</v>
      </c>
      <c r="D3" s="2" t="s">
        <v>218</v>
      </c>
    </row>
    <row r="4" customFormat="false" ht="15" hidden="false" customHeight="false" outlineLevel="0" collapsed="false">
      <c r="A4" s="3" t="s">
        <v>233</v>
      </c>
      <c r="B4" s="3" t="n">
        <v>50000</v>
      </c>
      <c r="C4" s="3" t="n">
        <v>150000</v>
      </c>
      <c r="D4" s="3" t="n">
        <v>500000</v>
      </c>
    </row>
    <row r="5" customFormat="false" ht="15" hidden="false" customHeight="false" outlineLevel="0" collapsed="false">
      <c r="A5" s="4" t="s">
        <v>234</v>
      </c>
      <c r="B5" s="4" t="n">
        <v>63000</v>
      </c>
      <c r="C5" s="4" t="n">
        <v>126000</v>
      </c>
      <c r="D5" s="4" t="n">
        <v>378000</v>
      </c>
    </row>
    <row r="6" customFormat="false" ht="15" hidden="false" customHeight="false" outlineLevel="0" collapsed="false">
      <c r="A6" s="3" t="s">
        <v>220</v>
      </c>
      <c r="B6" s="3" t="n">
        <v>15000</v>
      </c>
      <c r="C6" s="3" t="n">
        <v>30000</v>
      </c>
      <c r="D6" s="3" t="n">
        <v>100000</v>
      </c>
    </row>
    <row r="7" customFormat="false" ht="15" hidden="false" customHeight="false" outlineLevel="0" collapsed="false">
      <c r="A7" s="4" t="s">
        <v>235</v>
      </c>
      <c r="B7" s="4" t="n">
        <v>5000</v>
      </c>
      <c r="C7" s="4" t="n">
        <v>15000</v>
      </c>
      <c r="D7" s="4" t="n">
        <v>25000</v>
      </c>
    </row>
    <row r="8" customFormat="false" ht="15" hidden="false" customHeight="false" outlineLevel="0" collapsed="false">
      <c r="A8" s="3" t="s">
        <v>236</v>
      </c>
      <c r="B8" s="3" t="n">
        <v>10000</v>
      </c>
      <c r="C8" s="3" t="n">
        <v>25000</v>
      </c>
      <c r="D8" s="3" t="n">
        <v>50000</v>
      </c>
    </row>
    <row r="9" customFormat="false" ht="15" hidden="false" customHeight="false" outlineLevel="0" collapsed="false">
      <c r="A9" s="4" t="s">
        <v>237</v>
      </c>
      <c r="B9" s="4" t="n">
        <v>20000</v>
      </c>
      <c r="C9" s="4" t="n">
        <v>50000</v>
      </c>
      <c r="D9" s="4" t="n">
        <v>150000</v>
      </c>
    </row>
    <row r="10" customFormat="false" ht="15" hidden="false" customHeight="false" outlineLevel="0" collapsed="false">
      <c r="A10" s="3" t="s">
        <v>238</v>
      </c>
      <c r="B10" s="3" t="n">
        <v>16300</v>
      </c>
      <c r="C10" s="3" t="n">
        <v>39600</v>
      </c>
      <c r="D10" s="3" t="n">
        <v>120300</v>
      </c>
    </row>
    <row r="12" customFormat="false" ht="15" hidden="false" customHeight="false" outlineLevel="0" collapsed="false">
      <c r="A12" s="6" t="s">
        <v>239</v>
      </c>
      <c r="B12" s="9" t="n">
        <f aca="false">SUM(B4:B10)</f>
        <v>179300</v>
      </c>
      <c r="C12" s="9" t="n">
        <f aca="false">SUM(C4:C10)</f>
        <v>435600</v>
      </c>
      <c r="D12" s="9" t="n">
        <f aca="false">SUM(D4:D10)</f>
        <v>1323300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240</v>
      </c>
      <c r="B1" s="1"/>
      <c r="C1" s="1"/>
      <c r="D1" s="1"/>
    </row>
    <row r="3" customFormat="false" ht="15" hidden="false" customHeight="false" outlineLevel="0" collapsed="false">
      <c r="A3" s="11" t="s">
        <v>241</v>
      </c>
    </row>
    <row r="4" customFormat="false" ht="15" hidden="false" customHeight="false" outlineLevel="0" collapsed="false">
      <c r="A4" s="2" t="s">
        <v>242</v>
      </c>
      <c r="B4" s="2" t="s">
        <v>243</v>
      </c>
      <c r="C4" s="2" t="s">
        <v>244</v>
      </c>
      <c r="D4" s="2" t="s">
        <v>60</v>
      </c>
    </row>
    <row r="5" customFormat="false" ht="28.35" hidden="false" customHeight="false" outlineLevel="0" collapsed="false">
      <c r="A5" s="3" t="s">
        <v>245</v>
      </c>
      <c r="B5" s="3" t="s">
        <v>246</v>
      </c>
      <c r="C5" s="3" t="s">
        <v>247</v>
      </c>
      <c r="D5" s="3" t="s">
        <v>248</v>
      </c>
    </row>
    <row r="6" customFormat="false" ht="15" hidden="false" customHeight="false" outlineLevel="0" collapsed="false">
      <c r="A6" s="4" t="s">
        <v>249</v>
      </c>
      <c r="B6" s="4" t="s">
        <v>250</v>
      </c>
      <c r="C6" s="4" t="s">
        <v>247</v>
      </c>
      <c r="D6" s="4" t="s">
        <v>251</v>
      </c>
    </row>
    <row r="7" customFormat="false" ht="28.35" hidden="false" customHeight="false" outlineLevel="0" collapsed="false">
      <c r="A7" s="3" t="s">
        <v>252</v>
      </c>
      <c r="B7" s="3" t="s">
        <v>253</v>
      </c>
      <c r="C7" s="3" t="s">
        <v>254</v>
      </c>
      <c r="D7" s="3" t="s">
        <v>255</v>
      </c>
    </row>
    <row r="10" customFormat="false" ht="15" hidden="false" customHeight="false" outlineLevel="0" collapsed="false">
      <c r="A10" s="11" t="s">
        <v>256</v>
      </c>
    </row>
    <row r="11" customFormat="false" ht="15" hidden="false" customHeight="false" outlineLevel="0" collapsed="false">
      <c r="A11" s="2" t="s">
        <v>257</v>
      </c>
      <c r="B11" s="2" t="s">
        <v>258</v>
      </c>
      <c r="C11" s="2" t="s">
        <v>259</v>
      </c>
    </row>
    <row r="12" customFormat="false" ht="15" hidden="false" customHeight="false" outlineLevel="0" collapsed="false">
      <c r="A12" s="3" t="s">
        <v>260</v>
      </c>
      <c r="B12" s="3" t="s">
        <v>261</v>
      </c>
      <c r="C12" s="3" t="s">
        <v>262</v>
      </c>
    </row>
    <row r="13" customFormat="false" ht="15" hidden="false" customHeight="false" outlineLevel="0" collapsed="false">
      <c r="A13" s="4" t="s">
        <v>263</v>
      </c>
      <c r="B13" s="4" t="s">
        <v>254</v>
      </c>
      <c r="C13" s="4" t="s">
        <v>264</v>
      </c>
    </row>
    <row r="14" customFormat="false" ht="15" hidden="false" customHeight="false" outlineLevel="0" collapsed="false">
      <c r="A14" s="3" t="s">
        <v>265</v>
      </c>
      <c r="B14" s="3" t="s">
        <v>266</v>
      </c>
      <c r="C14" s="3" t="s">
        <v>267</v>
      </c>
    </row>
    <row r="15" customFormat="false" ht="15" hidden="false" customHeight="false" outlineLevel="0" collapsed="false">
      <c r="A15" s="4" t="s">
        <v>268</v>
      </c>
      <c r="B15" s="4" t="s">
        <v>269</v>
      </c>
      <c r="C15" s="4" t="s">
        <v>270</v>
      </c>
    </row>
    <row r="16" customFormat="false" ht="15" hidden="false" customHeight="false" outlineLevel="0" collapsed="false">
      <c r="A16" s="3" t="s">
        <v>271</v>
      </c>
      <c r="B16" s="3" t="s">
        <v>272</v>
      </c>
      <c r="C16" s="3" t="s">
        <v>273</v>
      </c>
    </row>
    <row r="17" customFormat="false" ht="15" hidden="false" customHeight="false" outlineLevel="0" collapsed="false">
      <c r="A17" s="4" t="s">
        <v>274</v>
      </c>
      <c r="B17" s="4" t="s">
        <v>275</v>
      </c>
      <c r="C17" s="4" t="s">
        <v>276</v>
      </c>
    </row>
    <row r="18" customFormat="false" ht="15" hidden="false" customHeight="false" outlineLevel="0" collapsed="false">
      <c r="A18" s="3" t="s">
        <v>277</v>
      </c>
      <c r="B18" s="3" t="s">
        <v>278</v>
      </c>
      <c r="C18" s="3" t="s">
        <v>279</v>
      </c>
    </row>
    <row r="21" customFormat="false" ht="15" hidden="false" customHeight="false" outlineLevel="0" collapsed="false">
      <c r="A21" s="11" t="s">
        <v>280</v>
      </c>
    </row>
    <row r="22" customFormat="false" ht="15" hidden="false" customHeight="false" outlineLevel="0" collapsed="false">
      <c r="A22" s="0" t="s">
        <v>281</v>
      </c>
    </row>
    <row r="23" customFormat="false" ht="15" hidden="false" customHeight="false" outlineLevel="0" collapsed="false">
      <c r="A23" s="0" t="s">
        <v>282</v>
      </c>
    </row>
    <row r="24" customFormat="false" ht="15" hidden="false" customHeight="false" outlineLevel="0" collapsed="false">
      <c r="A24" s="0" t="s">
        <v>283</v>
      </c>
    </row>
    <row r="25" customFormat="false" ht="15" hidden="false" customHeight="false" outlineLevel="0" collapsed="false">
      <c r="A25" s="0" t="s">
        <v>284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1" t="s">
        <v>285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286</v>
      </c>
      <c r="C3" s="2" t="s">
        <v>287</v>
      </c>
      <c r="D3" s="2" t="s">
        <v>288</v>
      </c>
    </row>
    <row r="4" customFormat="false" ht="15" hidden="false" customHeight="false" outlineLevel="0" collapsed="false">
      <c r="A4" s="3" t="n">
        <v>1</v>
      </c>
      <c r="B4" s="3" t="s">
        <v>289</v>
      </c>
      <c r="C4" s="3" t="s">
        <v>290</v>
      </c>
      <c r="D4" s="3"/>
    </row>
    <row r="5" customFormat="false" ht="15" hidden="false" customHeight="false" outlineLevel="0" collapsed="false">
      <c r="A5" s="4" t="n">
        <v>2</v>
      </c>
      <c r="B5" s="4" t="s">
        <v>291</v>
      </c>
      <c r="C5" s="4" t="s">
        <v>290</v>
      </c>
      <c r="D5" s="4"/>
    </row>
    <row r="6" customFormat="false" ht="15" hidden="false" customHeight="false" outlineLevel="0" collapsed="false">
      <c r="A6" s="3" t="n">
        <v>3</v>
      </c>
      <c r="B6" s="3" t="s">
        <v>292</v>
      </c>
      <c r="C6" s="3" t="s">
        <v>290</v>
      </c>
      <c r="D6" s="3"/>
    </row>
    <row r="7" customFormat="false" ht="15" hidden="false" customHeight="false" outlineLevel="0" collapsed="false">
      <c r="A7" s="4" t="n">
        <v>4</v>
      </c>
      <c r="B7" s="4" t="s">
        <v>293</v>
      </c>
      <c r="C7" s="4" t="s">
        <v>290</v>
      </c>
      <c r="D7" s="4"/>
    </row>
    <row r="8" customFormat="false" ht="15" hidden="false" customHeight="false" outlineLevel="0" collapsed="false">
      <c r="A8" s="3" t="n">
        <v>5</v>
      </c>
      <c r="B8" s="3" t="s">
        <v>294</v>
      </c>
      <c r="C8" s="3" t="s">
        <v>290</v>
      </c>
      <c r="D8" s="3"/>
    </row>
    <row r="9" customFormat="false" ht="15" hidden="false" customHeight="false" outlineLevel="0" collapsed="false">
      <c r="A9" s="4" t="n">
        <v>6</v>
      </c>
      <c r="B9" s="4" t="s">
        <v>295</v>
      </c>
      <c r="C9" s="4" t="s">
        <v>290</v>
      </c>
      <c r="D9" s="4"/>
    </row>
    <row r="10" customFormat="false" ht="15" hidden="false" customHeight="false" outlineLevel="0" collapsed="false">
      <c r="A10" s="3" t="n">
        <v>7</v>
      </c>
      <c r="B10" s="3" t="s">
        <v>296</v>
      </c>
      <c r="C10" s="3" t="s">
        <v>290</v>
      </c>
      <c r="D10" s="3"/>
    </row>
    <row r="11" customFormat="false" ht="15" hidden="false" customHeight="false" outlineLevel="0" collapsed="false">
      <c r="A11" s="4" t="n">
        <v>8</v>
      </c>
      <c r="B11" s="4" t="s">
        <v>297</v>
      </c>
      <c r="C11" s="4" t="s">
        <v>290</v>
      </c>
      <c r="D11" s="4"/>
    </row>
    <row r="12" customFormat="false" ht="15" hidden="false" customHeight="false" outlineLevel="0" collapsed="false">
      <c r="A12" s="3" t="n">
        <v>9</v>
      </c>
      <c r="B12" s="3" t="s">
        <v>298</v>
      </c>
      <c r="C12" s="3" t="s">
        <v>290</v>
      </c>
      <c r="D12" s="3"/>
    </row>
    <row r="13" customFormat="false" ht="15" hidden="false" customHeight="false" outlineLevel="0" collapsed="false">
      <c r="A13" s="4" t="n">
        <v>10</v>
      </c>
      <c r="B13" s="4" t="s">
        <v>299</v>
      </c>
      <c r="C13" s="4" t="s">
        <v>290</v>
      </c>
      <c r="D13" s="4"/>
    </row>
    <row r="14" customFormat="false" ht="15" hidden="false" customHeight="false" outlineLevel="0" collapsed="false">
      <c r="A14" s="3" t="n">
        <v>11</v>
      </c>
      <c r="B14" s="3" t="s">
        <v>300</v>
      </c>
      <c r="C14" s="3" t="s">
        <v>290</v>
      </c>
      <c r="D14" s="3"/>
    </row>
    <row r="15" customFormat="false" ht="15" hidden="false" customHeight="false" outlineLevel="0" collapsed="false">
      <c r="A15" s="4" t="n">
        <v>12</v>
      </c>
      <c r="B15" s="4" t="s">
        <v>301</v>
      </c>
      <c r="C15" s="4" t="s">
        <v>290</v>
      </c>
      <c r="D15" s="4"/>
    </row>
    <row r="16" customFormat="false" ht="15" hidden="false" customHeight="false" outlineLevel="0" collapsed="false">
      <c r="A16" s="3" t="n">
        <v>13</v>
      </c>
      <c r="B16" s="3" t="s">
        <v>302</v>
      </c>
      <c r="C16" s="3" t="s">
        <v>290</v>
      </c>
      <c r="D16" s="3"/>
    </row>
    <row r="17" customFormat="false" ht="15" hidden="false" customHeight="false" outlineLevel="0" collapsed="false">
      <c r="A17" s="4" t="n">
        <v>14</v>
      </c>
      <c r="B17" s="4" t="s">
        <v>303</v>
      </c>
      <c r="C17" s="4" t="s">
        <v>290</v>
      </c>
      <c r="D17" s="4"/>
    </row>
    <row r="18" customFormat="false" ht="15" hidden="false" customHeight="false" outlineLevel="0" collapsed="false">
      <c r="A18" s="3" t="n">
        <v>15</v>
      </c>
      <c r="B18" s="3" t="s">
        <v>304</v>
      </c>
      <c r="C18" s="3" t="s">
        <v>290</v>
      </c>
      <c r="D18" s="3"/>
    </row>
    <row r="19" customFormat="false" ht="15" hidden="false" customHeight="false" outlineLevel="0" collapsed="false">
      <c r="A19" s="4" t="n">
        <v>16</v>
      </c>
      <c r="B19" s="4" t="s">
        <v>305</v>
      </c>
      <c r="C19" s="4" t="s">
        <v>290</v>
      </c>
      <c r="D19" s="4"/>
    </row>
    <row r="20" customFormat="false" ht="15" hidden="false" customHeight="false" outlineLevel="0" collapsed="false">
      <c r="A20" s="3" t="n">
        <v>17</v>
      </c>
      <c r="B20" s="3" t="s">
        <v>306</v>
      </c>
      <c r="C20" s="3" t="s">
        <v>290</v>
      </c>
      <c r="D20" s="3"/>
    </row>
    <row r="21" customFormat="false" ht="15" hidden="false" customHeight="false" outlineLevel="0" collapsed="false">
      <c r="A21" s="4" t="n">
        <v>18</v>
      </c>
      <c r="B21" s="4" t="s">
        <v>307</v>
      </c>
      <c r="C21" s="4" t="s">
        <v>290</v>
      </c>
      <c r="D21" s="4"/>
    </row>
    <row r="22" customFormat="false" ht="15" hidden="false" customHeight="false" outlineLevel="0" collapsed="false">
      <c r="A22" s="3" t="n">
        <v>19</v>
      </c>
      <c r="B22" s="3" t="s">
        <v>308</v>
      </c>
      <c r="C22" s="3" t="s">
        <v>290</v>
      </c>
      <c r="D22" s="3"/>
    </row>
    <row r="23" customFormat="false" ht="15" hidden="false" customHeight="false" outlineLevel="0" collapsed="false">
      <c r="A23" s="4" t="n">
        <v>20</v>
      </c>
      <c r="B23" s="4" t="s">
        <v>309</v>
      </c>
      <c r="C23" s="4" t="s">
        <v>290</v>
      </c>
      <c r="D23" s="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2025-12-27T07:38:09Z</dcterms:created>
  <dc:creator>openpyxl</dc:creator>
  <dc:description/>
  <dc:language>en-US</dc:language>
  <cp:lastModifiedBy/>
  <dcterms:modified xsi:type="dcterms:W3CDTF">2025-12-27T07:38:09Z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